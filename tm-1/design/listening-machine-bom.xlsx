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Summary" sheetId="2" state="visible" r:id="rId4"/>
    <sheet name="Tools and software" sheetId="3" state="visible" r:id="rId5"/>
  </sheets>
  <definedNames>
    <definedName function="false" hidden="true" localSheetId="0" name="_xlnm._FilterDatabase" vbProcedure="false">BOM!$A$5:$J$49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<sst xmlns="http://schemas.openxmlformats.org/spreadsheetml/2006/main" count="314" uniqueCount="204">
  <si>
    <t xml:space="preserve">THE LISTENING MACHINE - development BOM (one prototype)</t>
  </si>
  <si>
    <t xml:space="preserve">Stage 1 gets the DSP running on hardware. Stage 2 turns it into an object. Order Stage 1 only until the engine sounds right.</t>
  </si>
  <si>
    <t xml:space="preserve">LEGEND:  blue = estimate you should edit    black = calculated    Status column is yours - leave blank, or write Ordered / Received / Have it</t>
  </si>
  <si>
    <t xml:space="preserve">Stage</t>
  </si>
  <si>
    <t xml:space="preserve">Category</t>
  </si>
  <si>
    <t xml:space="preserve">Item</t>
  </si>
  <si>
    <t xml:space="preserve">Spec / suggested part</t>
  </si>
  <si>
    <t xml:space="preserve">Qty</t>
  </si>
  <si>
    <t xml:space="preserve">Unit $</t>
  </si>
  <si>
    <t xml:space="preserve">Ext $</t>
  </si>
  <si>
    <t xml:space="preserve">Supplier</t>
  </si>
  <si>
    <t xml:space="preserve">Status</t>
  </si>
  <si>
    <t xml:space="preserve">Notes</t>
  </si>
  <si>
    <t xml:space="preserve">1 Bring-up</t>
  </si>
  <si>
    <t xml:space="preserve">MCU</t>
  </si>
  <si>
    <t xml:space="preserve">Daisy Seed</t>
  </si>
  <si>
    <t xml:space="preserve">Seed 1.2 / 65MB, with headers</t>
  </si>
  <si>
    <t xml:space="preserve">Electrosmith / Thonk</t>
  </si>
  <si>
    <t xml:space="preserve">Core DSP board. Buy now - production has been disrupted by the RAM shortage.</t>
  </si>
  <si>
    <t xml:space="preserve">Daisy Seed - spare</t>
  </si>
  <si>
    <t xml:space="preserve">Same as above</t>
  </si>
  <si>
    <t xml:space="preserve">Supply risk insurance. You will also brick one at some point.</t>
  </si>
  <si>
    <t xml:space="preserve">Proto</t>
  </si>
  <si>
    <t xml:space="preserve">Solderless breadboard</t>
  </si>
  <si>
    <t xml:space="preserve">830 point</t>
  </si>
  <si>
    <t xml:space="preserve">Amazon / Adafruit</t>
  </si>
  <si>
    <t xml:space="preserve">Jumper wire kit</t>
  </si>
  <si>
    <t xml:space="preserve">M-M and M-F assortment</t>
  </si>
  <si>
    <t xml:space="preserve">Amazon</t>
  </si>
  <si>
    <t xml:space="preserve">Control</t>
  </si>
  <si>
    <t xml:space="preserve">Potentiometer</t>
  </si>
  <si>
    <t xml:space="preserve">10k linear, 9mm vertical</t>
  </si>
  <si>
    <t xml:space="preserve">Thonk / Tayda</t>
  </si>
  <si>
    <t xml:space="preserve">Metal bushing - needed later for the O-ring shaft seal.</t>
  </si>
  <si>
    <t xml:space="preserve">Rotary encoder</t>
  </si>
  <si>
    <t xml:space="preserve">24-detent with push, PEC11R</t>
  </si>
  <si>
    <t xml:space="preserve">Digi-Key</t>
  </si>
  <si>
    <t xml:space="preserve">Tactile switch</t>
  </si>
  <si>
    <t xml:space="preserve">6mm THT</t>
  </si>
  <si>
    <t xml:space="preserve">Tayda</t>
  </si>
  <si>
    <t xml:space="preserve">Transport buttons, prototype only.</t>
  </si>
  <si>
    <t xml:space="preserve">Knobs - prototype</t>
  </si>
  <si>
    <t xml:space="preserve">Cheap plastic</t>
  </si>
  <si>
    <t xml:space="preserve">Display</t>
  </si>
  <si>
    <t xml:space="preserve">OLED module</t>
  </si>
  <si>
    <t xml:space="preserve">2.42in SSD1309, SPI, 128x64</t>
  </si>
  <si>
    <t xml:space="preserve">AliExpress / Amazon</t>
  </si>
  <si>
    <t xml:space="preserve">SPI not I2C. See notes on sunlight readability.</t>
  </si>
  <si>
    <t xml:space="preserve">LED assortment</t>
  </si>
  <si>
    <t xml:space="preserve">3mm and 5mm</t>
  </si>
  <si>
    <t xml:space="preserve">Storage</t>
  </si>
  <si>
    <t xml:space="preserve">microSD breakout</t>
  </si>
  <si>
    <t xml:space="preserve">SDMMC / SPI with level shifting</t>
  </si>
  <si>
    <t xml:space="preserve">Adafruit</t>
  </si>
  <si>
    <t xml:space="preserve">microSD card</t>
  </si>
  <si>
    <t xml:space="preserve">32GB Class 10</t>
  </si>
  <si>
    <t xml:space="preserve">One to abuse, one that works.</t>
  </si>
  <si>
    <t xml:space="preserve">Audio</t>
  </si>
  <si>
    <t xml:space="preserve">1/4in jack</t>
  </si>
  <si>
    <t xml:space="preserve">Switchcraft 12B or equivalent</t>
  </si>
  <si>
    <t xml:space="preserve">Thonk / Mouser</t>
  </si>
  <si>
    <t xml:space="preserve">Op-amp</t>
  </si>
  <si>
    <t xml:space="preserve">OPA1642 or TL072, DIP for breadboard</t>
  </si>
  <si>
    <t xml:space="preserve">Mouser</t>
  </si>
  <si>
    <t xml:space="preserve">Signal path - do not cheap out here.</t>
  </si>
  <si>
    <t xml:space="preserve">Mic capsule + preamp</t>
  </si>
  <si>
    <t xml:space="preserve">Electret with MAX9814 AGC module</t>
  </si>
  <si>
    <t xml:space="preserve">Prove the concept before choosing a final capsule.</t>
  </si>
  <si>
    <t xml:space="preserve">Speaker</t>
  </si>
  <si>
    <t xml:space="preserve">3W 4ohm, 50mm</t>
  </si>
  <si>
    <t xml:space="preserve">Amp module</t>
  </si>
  <si>
    <t xml:space="preserve">PAM8302 mono 2.5W</t>
  </si>
  <si>
    <t xml:space="preserve">Power</t>
  </si>
  <si>
    <t xml:space="preserve">USB-C breakout</t>
  </si>
  <si>
    <t xml:space="preserve">Power plus data passthrough</t>
  </si>
  <si>
    <t xml:space="preserve">Passive</t>
  </si>
  <si>
    <t xml:space="preserve">Resistor kit</t>
  </si>
  <si>
    <t xml:space="preserve">1% metal film assortment</t>
  </si>
  <si>
    <t xml:space="preserve">Capacitor kit</t>
  </si>
  <si>
    <t xml:space="preserve">Ceramic, electrolytic, film</t>
  </si>
  <si>
    <t xml:space="preserve">Film caps - signal path</t>
  </si>
  <si>
    <t xml:space="preserve">WIMA 1uF / 2.2uF</t>
  </si>
  <si>
    <t xml:space="preserve">AC coupling on audio in.</t>
  </si>
  <si>
    <t xml:space="preserve">Debug</t>
  </si>
  <si>
    <t xml:space="preserve">ST-Link V3 MINIE</t>
  </si>
  <si>
    <t xml:space="preserve">SWD debugger</t>
  </si>
  <si>
    <t xml:space="preserve">Mouser / Digi-Key</t>
  </si>
  <si>
    <t xml:space="preserve">Worth it. USB DFU flashing alone means no breakpoints.</t>
  </si>
  <si>
    <t xml:space="preserve">Logic analyzer</t>
  </si>
  <si>
    <t xml:space="preserve">8ch USB</t>
  </si>
  <si>
    <t xml:space="preserve">For SPI and SDMMC bring-up.</t>
  </si>
  <si>
    <t xml:space="preserve">2 Prototype</t>
  </si>
  <si>
    <t xml:space="preserve">PCB</t>
  </si>
  <si>
    <t xml:space="preserve">PCB fabrication</t>
  </si>
  <si>
    <t xml:space="preserve">4-layer, 5 pcs</t>
  </si>
  <si>
    <t xml:space="preserve">JLCPCB / PCBWay</t>
  </si>
  <si>
    <t xml:space="preserve">4-layer for a clean ground plane under the codec.</t>
  </si>
  <si>
    <t xml:space="preserve">Stencil</t>
  </si>
  <si>
    <t xml:space="preserve">Framework-less, optional</t>
  </si>
  <si>
    <t xml:space="preserve">JLCPCB</t>
  </si>
  <si>
    <t xml:space="preserve">18650 holder</t>
  </si>
  <si>
    <t xml:space="preserve">PCB mount</t>
  </si>
  <si>
    <t xml:space="preserve">18650 cell</t>
  </si>
  <si>
    <t xml:space="preserve">Protected, 3400mAh</t>
  </si>
  <si>
    <t xml:space="preserve">18650batterystore</t>
  </si>
  <si>
    <t xml:space="preserve">Two cells targets a full day of field runtime.</t>
  </si>
  <si>
    <t xml:space="preserve">Charge / protection board</t>
  </si>
  <si>
    <t xml:space="preserve">TP4056 or BQ25895 module</t>
  </si>
  <si>
    <t xml:space="preserve">Boost converter</t>
  </si>
  <si>
    <t xml:space="preserve">5V 2A</t>
  </si>
  <si>
    <t xml:space="preserve">Pololu</t>
  </si>
  <si>
    <t xml:space="preserve">Enclosure</t>
  </si>
  <si>
    <t xml:space="preserve">Folded steel case</t>
  </si>
  <si>
    <t xml:space="preserve">Custom, laser cut and bent, powder coated</t>
  </si>
  <si>
    <t xml:space="preserve">SendCutSend</t>
  </si>
  <si>
    <t xml:space="preserve">The single biggest line item. Design the cassette door as the sealed bay.</t>
  </si>
  <si>
    <t xml:space="preserve">Front panel</t>
  </si>
  <si>
    <t xml:space="preserve">Custom aluminium, printed</t>
  </si>
  <si>
    <t xml:space="preserve">SendCutSend / Front Panel Express</t>
  </si>
  <si>
    <t xml:space="preserve">Gasket sheet</t>
  </si>
  <si>
    <t xml:space="preserve">Closed-cell EPDM, adhesive back</t>
  </si>
  <si>
    <t xml:space="preserve">McMaster-Carr</t>
  </si>
  <si>
    <t xml:space="preserve">Pressure vent</t>
  </si>
  <si>
    <t xml:space="preserve">Gore adhesive vent</t>
  </si>
  <si>
    <t xml:space="preserve">Non-optional on a sealed box. Prevents the seals from breathing moisture in.</t>
  </si>
  <si>
    <t xml:space="preserve">Hinge and draw latch</t>
  </si>
  <si>
    <t xml:space="preserve">For the compartment door</t>
  </si>
  <si>
    <t xml:space="preserve">Folding handle</t>
  </si>
  <si>
    <t xml:space="preserve">Chest / case style</t>
  </si>
  <si>
    <t xml:space="preserve">The carry signal.</t>
  </si>
  <si>
    <t xml:space="preserve">Polycarbonate sheet</t>
  </si>
  <si>
    <t xml:space="preserve">2mm, screen window</t>
  </si>
  <si>
    <t xml:space="preserve">Sealed pushbutton</t>
  </si>
  <si>
    <t xml:space="preserve">IP67 booted momentary, illuminated</t>
  </si>
  <si>
    <t xml:space="preserve">Transport keys. These are what people touch every time.</t>
  </si>
  <si>
    <t xml:space="preserve">Toggle switch</t>
  </si>
  <si>
    <t xml:space="preserve">3-position ON-OFF-ON, booted</t>
  </si>
  <si>
    <t xml:space="preserve">One of these is the A / BOTH / B deck selector.</t>
  </si>
  <si>
    <t xml:space="preserve">O-ring</t>
  </si>
  <si>
    <t xml:space="preserve">Buna-N, pot shaft seal</t>
  </si>
  <si>
    <t xml:space="preserve">This is how you seal pots without buying IP-rated pots.</t>
  </si>
  <si>
    <t xml:space="preserve">Knobs - final</t>
  </si>
  <si>
    <t xml:space="preserve">Machined aluminium, set screw</t>
  </si>
  <si>
    <t xml:space="preserve">Thonk / Rogan</t>
  </si>
  <si>
    <t xml:space="preserve">1/4in jack - final</t>
  </si>
  <si>
    <t xml:space="preserve">Neutrik NMJ4HCD2</t>
  </si>
  <si>
    <t xml:space="preserve">Standard jacks inside the sealed bay, not IP-rated jacks.</t>
  </si>
  <si>
    <t xml:space="preserve">Misc</t>
  </si>
  <si>
    <t xml:space="preserve">RTC module</t>
  </si>
  <si>
    <t xml:space="preserve">DS3231 with coin cell</t>
  </si>
  <si>
    <t xml:space="preserve">Dated filenames.</t>
  </si>
  <si>
    <t xml:space="preserve">Hardware</t>
  </si>
  <si>
    <t xml:space="preserve">M3 stainless standoffs and screws</t>
  </si>
  <si>
    <t xml:space="preserve">Wire and connectors</t>
  </si>
  <si>
    <t xml:space="preserve">JST-XH, silicone hookup wire</t>
  </si>
  <si>
    <t xml:space="preserve">TOTAL - one complete prototype</t>
  </si>
  <si>
    <t xml:space="preserve">THE LISTENING MACHINE - cost summary</t>
  </si>
  <si>
    <t xml:space="preserve">What it gets you</t>
  </si>
  <si>
    <t xml:space="preserve">Cost</t>
  </si>
  <si>
    <t xml:space="preserve">Engine running on real hardware. Breadboard, no enclosure.</t>
  </si>
  <si>
    <t xml:space="preserve">Sealed, battery powered, carryable object.</t>
  </si>
  <si>
    <t xml:space="preserve">TOTAL</t>
  </si>
  <si>
    <t xml:space="preserve">ASSUMPTIONS - all prices are estimates, not quotes. Check before ordering.</t>
  </si>
  <si>
    <t xml:space="preserve">Prices are July 2026 ballpark figures from memory of typical supplier pricing. Verify every line.</t>
  </si>
  <si>
    <t xml:space="preserve">Daisy Seed pricing and stock have been unstable - Electrosmith paused production over the RAM shortage</t>
  </si>
  <si>
    <t xml:space="preserve">   and moved to volume tiers. Check daisy.audio for current stock before committing to the part.</t>
  </si>
  <si>
    <t xml:space="preserve">Enclosure and panel are custom-fabrication estimates for quantity one. They fall by roughly half at qty 25+.</t>
  </si>
  <si>
    <t xml:space="preserve">Excludes: soldering iron, bench PSU, multimeter, audio interface - assumed already owned.</t>
  </si>
  <si>
    <t xml:space="preserve">Excludes an oscilloscope. Not required, but a Rigol DHO800 (~$250) makes analog debugging far less painful.</t>
  </si>
  <si>
    <t xml:space="preserve">Excludes your time, which is the largest cost by an enormous margin.</t>
  </si>
  <si>
    <t xml:space="preserve">SEQUENCE</t>
  </si>
  <si>
    <t xml:space="preserve">0. Costs nothing: keep tuning the DSP in the browser harness. It already runs.</t>
  </si>
  <si>
    <t xml:space="preserve">1. Order Stage 1. Port the engine to fixed-point, get it playing through the codec. No UI yet.</t>
  </si>
  <si>
    <t xml:space="preserve">2. Add SD, screen, mic on the breadboard. Prove each one alone before combining.</t>
  </si>
  <si>
    <t xml:space="preserve">3. Hand-wire the full control set on perfboard. This is where you learn if the ergonomics work.</t>
  </si>
  <si>
    <t xml:space="preserve">4. Only then order Stage 2. Panel layout is the last thing to freeze, not the first.</t>
  </si>
  <si>
    <t xml:space="preserve">Toolchain - everything here is free unless priced</t>
  </si>
  <si>
    <t xml:space="preserve">What for</t>
  </si>
  <si>
    <t xml:space="preserve">arm-none-eabi-gcc</t>
  </si>
  <si>
    <t xml:space="preserve">Cross compiler for the STM32H7</t>
  </si>
  <si>
    <t xml:space="preserve">Free</t>
  </si>
  <si>
    <t xml:space="preserve">Install via the Daisy toolchain script.</t>
  </si>
  <si>
    <t xml:space="preserve">libDaisy</t>
  </si>
  <si>
    <t xml:space="preserve">Hardware abstraction - codec, SDMMC, GPIO, ADC</t>
  </si>
  <si>
    <t xml:space="preserve">MIT licensed.</t>
  </si>
  <si>
    <t xml:space="preserve">DaisySP</t>
  </si>
  <si>
    <t xml:space="preserve">DSP building blocks including ReverbSc</t>
  </si>
  <si>
    <t xml:space="preserve">ReverbSc is good enough to ship.</t>
  </si>
  <si>
    <t xml:space="preserve">VS Code + cortex-debug</t>
  </si>
  <si>
    <t xml:space="preserve">Editing and step debugging over SWD</t>
  </si>
  <si>
    <t xml:space="preserve">Pairs with the ST-Link.</t>
  </si>
  <si>
    <t xml:space="preserve">KiCad 9</t>
  </si>
  <si>
    <t xml:space="preserve">Schematic capture and PCB layout</t>
  </si>
  <si>
    <t xml:space="preserve">Emscripten</t>
  </si>
  <si>
    <t xml:space="preserve">Compiling the shared C core to WASM</t>
  </si>
  <si>
    <t xml:space="preserve">Keeps the browser harness on the real engine.</t>
  </si>
  <si>
    <t xml:space="preserve">Fusion 360 or FreeCAD</t>
  </si>
  <si>
    <t xml:space="preserve">Enclosure modelling and panel drilling</t>
  </si>
  <si>
    <t xml:space="preserve">Free tier</t>
  </si>
  <si>
    <t xml:space="preserve">SendCutSend takes DXF and STEP.</t>
  </si>
  <si>
    <t xml:space="preserve">Oscilloscope</t>
  </si>
  <si>
    <t xml:space="preserve">Analog debugging</t>
  </si>
  <si>
    <t xml:space="preserve">~$250</t>
  </si>
  <si>
    <t xml:space="preserve">Optional. Rigol DHO804 or similar.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</si>
</sst>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3428"/>
        <bgColor rgb="FF333300"/>
      </patternFill>
    </fill>
    <fill>
      <patternFill patternType="solid">
        <fgColor rgb="FFE8E6DC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E342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6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E34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38"/>
    <col collapsed="false" customWidth="true" hidden="false" outlineLevel="0" max="5" min="5" style="0" width="6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24"/>
    <col collapsed="false" customWidth="true" hidden="false" outlineLevel="0" max="9" min="9" style="0" width="12"/>
    <col collapsed="false" customWidth="true" hidden="false" outlineLevel="0" max="10" min="10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23.85" hidden="false" customHeight="false" outlineLevel="0" collapsed="false">
      <c r="A6" s="5" t="s">
        <v>13</v>
      </c>
      <c r="B6" s="5" t="s">
        <v>14</v>
      </c>
      <c r="C6" s="5" t="s">
        <v>15</v>
      </c>
      <c r="D6" s="6" t="s">
        <v>16</v>
      </c>
      <c r="E6" s="7" t="n">
        <v>1</v>
      </c>
      <c r="F6" s="8" t="n">
        <v>32</v>
      </c>
      <c r="G6" s="9" t="n">
        <f aca="false">E6*F6</f>
        <v>32</v>
      </c>
      <c r="H6" s="5" t="s">
        <v>17</v>
      </c>
      <c r="I6" s="5"/>
      <c r="J6" s="6" t="s">
        <v>18</v>
      </c>
    </row>
    <row r="7" customFormat="false" ht="15" hidden="false" customHeight="false" outlineLevel="0" collapsed="false">
      <c r="A7" s="5" t="s">
        <v>13</v>
      </c>
      <c r="B7" s="5" t="s">
        <v>14</v>
      </c>
      <c r="C7" s="5" t="s">
        <v>19</v>
      </c>
      <c r="D7" s="6" t="s">
        <v>20</v>
      </c>
      <c r="E7" s="7" t="n">
        <v>1</v>
      </c>
      <c r="F7" s="8" t="n">
        <v>32</v>
      </c>
      <c r="G7" s="9" t="n">
        <f aca="false">E7*F7</f>
        <v>32</v>
      </c>
      <c r="H7" s="5" t="s">
        <v>17</v>
      </c>
      <c r="I7" s="5"/>
      <c r="J7" s="6" t="s">
        <v>21</v>
      </c>
    </row>
    <row r="8" customFormat="false" ht="15" hidden="false" customHeight="false" outlineLevel="0" collapsed="false">
      <c r="A8" s="5" t="s">
        <v>13</v>
      </c>
      <c r="B8" s="5" t="s">
        <v>22</v>
      </c>
      <c r="C8" s="5" t="s">
        <v>23</v>
      </c>
      <c r="D8" s="6" t="s">
        <v>24</v>
      </c>
      <c r="E8" s="7" t="n">
        <v>2</v>
      </c>
      <c r="F8" s="8" t="n">
        <v>6</v>
      </c>
      <c r="G8" s="9" t="n">
        <f aca="false">E8*F8</f>
        <v>12</v>
      </c>
      <c r="H8" s="5" t="s">
        <v>25</v>
      </c>
      <c r="I8" s="5"/>
      <c r="J8" s="6"/>
    </row>
    <row r="9" customFormat="false" ht="15" hidden="false" customHeight="false" outlineLevel="0" collapsed="false">
      <c r="A9" s="5" t="s">
        <v>13</v>
      </c>
      <c r="B9" s="5" t="s">
        <v>22</v>
      </c>
      <c r="C9" s="5" t="s">
        <v>26</v>
      </c>
      <c r="D9" s="6" t="s">
        <v>27</v>
      </c>
      <c r="E9" s="7" t="n">
        <v>1</v>
      </c>
      <c r="F9" s="8" t="n">
        <v>12</v>
      </c>
      <c r="G9" s="9" t="n">
        <f aca="false">E9*F9</f>
        <v>12</v>
      </c>
      <c r="H9" s="5" t="s">
        <v>28</v>
      </c>
      <c r="I9" s="5"/>
      <c r="J9" s="6"/>
    </row>
    <row r="10" customFormat="false" ht="15" hidden="false" customHeight="false" outlineLevel="0" collapsed="false">
      <c r="A10" s="5" t="s">
        <v>13</v>
      </c>
      <c r="B10" s="5" t="s">
        <v>29</v>
      </c>
      <c r="C10" s="5" t="s">
        <v>30</v>
      </c>
      <c r="D10" s="6" t="s">
        <v>31</v>
      </c>
      <c r="E10" s="7" t="n">
        <v>10</v>
      </c>
      <c r="F10" s="8" t="n">
        <v>1.5</v>
      </c>
      <c r="G10" s="9" t="n">
        <f aca="false">E10*F10</f>
        <v>15</v>
      </c>
      <c r="H10" s="5" t="s">
        <v>32</v>
      </c>
      <c r="I10" s="5"/>
      <c r="J10" s="6" t="s">
        <v>33</v>
      </c>
    </row>
    <row r="11" customFormat="false" ht="15" hidden="false" customHeight="false" outlineLevel="0" collapsed="false">
      <c r="A11" s="5" t="s">
        <v>13</v>
      </c>
      <c r="B11" s="5" t="s">
        <v>29</v>
      </c>
      <c r="C11" s="5" t="s">
        <v>34</v>
      </c>
      <c r="D11" s="6" t="s">
        <v>35</v>
      </c>
      <c r="E11" s="7" t="n">
        <v>2</v>
      </c>
      <c r="F11" s="8" t="n">
        <v>3</v>
      </c>
      <c r="G11" s="9" t="n">
        <f aca="false">E11*F11</f>
        <v>6</v>
      </c>
      <c r="H11" s="5" t="s">
        <v>36</v>
      </c>
      <c r="I11" s="5"/>
      <c r="J11" s="6"/>
    </row>
    <row r="12" customFormat="false" ht="15" hidden="false" customHeight="false" outlineLevel="0" collapsed="false">
      <c r="A12" s="5" t="s">
        <v>13</v>
      </c>
      <c r="B12" s="5" t="s">
        <v>29</v>
      </c>
      <c r="C12" s="5" t="s">
        <v>37</v>
      </c>
      <c r="D12" s="6" t="s">
        <v>38</v>
      </c>
      <c r="E12" s="7" t="n">
        <v>10</v>
      </c>
      <c r="F12" s="8" t="n">
        <v>0.3</v>
      </c>
      <c r="G12" s="9" t="n">
        <f aca="false">E12*F12</f>
        <v>3</v>
      </c>
      <c r="H12" s="5" t="s">
        <v>39</v>
      </c>
      <c r="I12" s="5"/>
      <c r="J12" s="6" t="s">
        <v>40</v>
      </c>
    </row>
    <row r="13" customFormat="false" ht="15" hidden="false" customHeight="false" outlineLevel="0" collapsed="false">
      <c r="A13" s="5" t="s">
        <v>13</v>
      </c>
      <c r="B13" s="5" t="s">
        <v>29</v>
      </c>
      <c r="C13" s="5" t="s">
        <v>41</v>
      </c>
      <c r="D13" s="6" t="s">
        <v>42</v>
      </c>
      <c r="E13" s="7" t="n">
        <v>10</v>
      </c>
      <c r="F13" s="8" t="n">
        <v>1.2</v>
      </c>
      <c r="G13" s="9" t="n">
        <f aca="false">E13*F13</f>
        <v>12</v>
      </c>
      <c r="H13" s="5" t="s">
        <v>39</v>
      </c>
      <c r="I13" s="5"/>
      <c r="J13" s="6"/>
    </row>
    <row r="14" customFormat="false" ht="15" hidden="false" customHeight="false" outlineLevel="0" collapsed="false">
      <c r="A14" s="5" t="s">
        <v>13</v>
      </c>
      <c r="B14" s="5" t="s">
        <v>43</v>
      </c>
      <c r="C14" s="5" t="s">
        <v>44</v>
      </c>
      <c r="D14" s="6" t="s">
        <v>45</v>
      </c>
      <c r="E14" s="7" t="n">
        <v>1</v>
      </c>
      <c r="F14" s="8" t="n">
        <v>14</v>
      </c>
      <c r="G14" s="9" t="n">
        <f aca="false">E14*F14</f>
        <v>14</v>
      </c>
      <c r="H14" s="5" t="s">
        <v>46</v>
      </c>
      <c r="I14" s="5"/>
      <c r="J14" s="6" t="s">
        <v>47</v>
      </c>
    </row>
    <row r="15" customFormat="false" ht="15" hidden="false" customHeight="false" outlineLevel="0" collapsed="false">
      <c r="A15" s="5" t="s">
        <v>13</v>
      </c>
      <c r="B15" s="5" t="s">
        <v>43</v>
      </c>
      <c r="C15" s="5" t="s">
        <v>48</v>
      </c>
      <c r="D15" s="6" t="s">
        <v>49</v>
      </c>
      <c r="E15" s="7" t="n">
        <v>1</v>
      </c>
      <c r="F15" s="8" t="n">
        <v>6</v>
      </c>
      <c r="G15" s="9" t="n">
        <f aca="false">E15*F15</f>
        <v>6</v>
      </c>
      <c r="H15" s="5" t="s">
        <v>39</v>
      </c>
      <c r="I15" s="5"/>
      <c r="J15" s="6"/>
    </row>
    <row r="16" customFormat="false" ht="15" hidden="false" customHeight="false" outlineLevel="0" collapsed="false">
      <c r="A16" s="5" t="s">
        <v>13</v>
      </c>
      <c r="B16" s="5" t="s">
        <v>50</v>
      </c>
      <c r="C16" s="5" t="s">
        <v>51</v>
      </c>
      <c r="D16" s="6" t="s">
        <v>52</v>
      </c>
      <c r="E16" s="7" t="n">
        <v>1</v>
      </c>
      <c r="F16" s="8" t="n">
        <v>5</v>
      </c>
      <c r="G16" s="9" t="n">
        <f aca="false">E16*F16</f>
        <v>5</v>
      </c>
      <c r="H16" s="5" t="s">
        <v>53</v>
      </c>
      <c r="I16" s="5"/>
      <c r="J16" s="6"/>
    </row>
    <row r="17" customFormat="false" ht="15" hidden="false" customHeight="false" outlineLevel="0" collapsed="false">
      <c r="A17" s="5" t="s">
        <v>13</v>
      </c>
      <c r="B17" s="5" t="s">
        <v>50</v>
      </c>
      <c r="C17" s="5" t="s">
        <v>54</v>
      </c>
      <c r="D17" s="6" t="s">
        <v>55</v>
      </c>
      <c r="E17" s="7" t="n">
        <v>2</v>
      </c>
      <c r="F17" s="8" t="n">
        <v>8</v>
      </c>
      <c r="G17" s="9" t="n">
        <f aca="false">E17*F17</f>
        <v>16</v>
      </c>
      <c r="H17" s="5" t="s">
        <v>28</v>
      </c>
      <c r="I17" s="5"/>
      <c r="J17" s="6" t="s">
        <v>56</v>
      </c>
    </row>
    <row r="18" customFormat="false" ht="15" hidden="false" customHeight="false" outlineLevel="0" collapsed="false">
      <c r="A18" s="5" t="s">
        <v>13</v>
      </c>
      <c r="B18" s="5" t="s">
        <v>57</v>
      </c>
      <c r="C18" s="5" t="s">
        <v>58</v>
      </c>
      <c r="D18" s="6" t="s">
        <v>59</v>
      </c>
      <c r="E18" s="7" t="n">
        <v>6</v>
      </c>
      <c r="F18" s="8" t="n">
        <v>2.5</v>
      </c>
      <c r="G18" s="9" t="n">
        <f aca="false">E18*F18</f>
        <v>15</v>
      </c>
      <c r="H18" s="5" t="s">
        <v>60</v>
      </c>
      <c r="I18" s="5"/>
      <c r="J18" s="6"/>
    </row>
    <row r="19" customFormat="false" ht="15" hidden="false" customHeight="false" outlineLevel="0" collapsed="false">
      <c r="A19" s="5" t="s">
        <v>13</v>
      </c>
      <c r="B19" s="5" t="s">
        <v>57</v>
      </c>
      <c r="C19" s="5" t="s">
        <v>61</v>
      </c>
      <c r="D19" s="6" t="s">
        <v>62</v>
      </c>
      <c r="E19" s="7" t="n">
        <v>4</v>
      </c>
      <c r="F19" s="8" t="n">
        <v>3.5</v>
      </c>
      <c r="G19" s="9" t="n">
        <f aca="false">E19*F19</f>
        <v>14</v>
      </c>
      <c r="H19" s="5" t="s">
        <v>63</v>
      </c>
      <c r="I19" s="5"/>
      <c r="J19" s="6" t="s">
        <v>64</v>
      </c>
    </row>
    <row r="20" customFormat="false" ht="15" hidden="false" customHeight="false" outlineLevel="0" collapsed="false">
      <c r="A20" s="5" t="s">
        <v>13</v>
      </c>
      <c r="B20" s="5" t="s">
        <v>57</v>
      </c>
      <c r="C20" s="5" t="s">
        <v>65</v>
      </c>
      <c r="D20" s="6" t="s">
        <v>66</v>
      </c>
      <c r="E20" s="7" t="n">
        <v>1</v>
      </c>
      <c r="F20" s="8" t="n">
        <v>8</v>
      </c>
      <c r="G20" s="9" t="n">
        <f aca="false">E20*F20</f>
        <v>8</v>
      </c>
      <c r="H20" s="5" t="s">
        <v>53</v>
      </c>
      <c r="I20" s="5"/>
      <c r="J20" s="6" t="s">
        <v>67</v>
      </c>
    </row>
    <row r="21" customFormat="false" ht="15" hidden="false" customHeight="false" outlineLevel="0" collapsed="false">
      <c r="A21" s="5" t="s">
        <v>13</v>
      </c>
      <c r="B21" s="5" t="s">
        <v>57</v>
      </c>
      <c r="C21" s="5" t="s">
        <v>68</v>
      </c>
      <c r="D21" s="6" t="s">
        <v>69</v>
      </c>
      <c r="E21" s="7" t="n">
        <v>1</v>
      </c>
      <c r="F21" s="8" t="n">
        <v>5</v>
      </c>
      <c r="G21" s="9" t="n">
        <f aca="false">E21*F21</f>
        <v>5</v>
      </c>
      <c r="H21" s="5" t="s">
        <v>53</v>
      </c>
      <c r="I21" s="5"/>
      <c r="J21" s="6"/>
    </row>
    <row r="22" customFormat="false" ht="15" hidden="false" customHeight="false" outlineLevel="0" collapsed="false">
      <c r="A22" s="5" t="s">
        <v>13</v>
      </c>
      <c r="B22" s="5" t="s">
        <v>57</v>
      </c>
      <c r="C22" s="5" t="s">
        <v>70</v>
      </c>
      <c r="D22" s="6" t="s">
        <v>71</v>
      </c>
      <c r="E22" s="7" t="n">
        <v>1</v>
      </c>
      <c r="F22" s="8" t="n">
        <v>4</v>
      </c>
      <c r="G22" s="9" t="n">
        <f aca="false">E22*F22</f>
        <v>4</v>
      </c>
      <c r="H22" s="5" t="s">
        <v>53</v>
      </c>
      <c r="I22" s="5"/>
      <c r="J22" s="6"/>
    </row>
    <row r="23" customFormat="false" ht="15" hidden="false" customHeight="false" outlineLevel="0" collapsed="false">
      <c r="A23" s="5" t="s">
        <v>13</v>
      </c>
      <c r="B23" s="5" t="s">
        <v>72</v>
      </c>
      <c r="C23" s="5" t="s">
        <v>73</v>
      </c>
      <c r="D23" s="6" t="s">
        <v>74</v>
      </c>
      <c r="E23" s="7" t="n">
        <v>1</v>
      </c>
      <c r="F23" s="8" t="n">
        <v>5</v>
      </c>
      <c r="G23" s="9" t="n">
        <f aca="false">E23*F23</f>
        <v>5</v>
      </c>
      <c r="H23" s="5" t="s">
        <v>53</v>
      </c>
      <c r="I23" s="5"/>
      <c r="J23" s="6"/>
    </row>
    <row r="24" customFormat="false" ht="15" hidden="false" customHeight="false" outlineLevel="0" collapsed="false">
      <c r="A24" s="5" t="s">
        <v>13</v>
      </c>
      <c r="B24" s="5" t="s">
        <v>75</v>
      </c>
      <c r="C24" s="5" t="s">
        <v>76</v>
      </c>
      <c r="D24" s="6" t="s">
        <v>77</v>
      </c>
      <c r="E24" s="7" t="n">
        <v>1</v>
      </c>
      <c r="F24" s="8" t="n">
        <v>12</v>
      </c>
      <c r="G24" s="9" t="n">
        <f aca="false">E24*F24</f>
        <v>12</v>
      </c>
      <c r="H24" s="5" t="s">
        <v>28</v>
      </c>
      <c r="I24" s="5"/>
      <c r="J24" s="6"/>
    </row>
    <row r="25" customFormat="false" ht="15" hidden="false" customHeight="false" outlineLevel="0" collapsed="false">
      <c r="A25" s="5" t="s">
        <v>13</v>
      </c>
      <c r="B25" s="5" t="s">
        <v>75</v>
      </c>
      <c r="C25" s="5" t="s">
        <v>78</v>
      </c>
      <c r="D25" s="6" t="s">
        <v>79</v>
      </c>
      <c r="E25" s="7" t="n">
        <v>1</v>
      </c>
      <c r="F25" s="8" t="n">
        <v>18</v>
      </c>
      <c r="G25" s="9" t="n">
        <f aca="false">E25*F25</f>
        <v>18</v>
      </c>
      <c r="H25" s="5" t="s">
        <v>28</v>
      </c>
      <c r="I25" s="5"/>
      <c r="J25" s="6"/>
    </row>
    <row r="26" customFormat="false" ht="15" hidden="false" customHeight="false" outlineLevel="0" collapsed="false">
      <c r="A26" s="5" t="s">
        <v>13</v>
      </c>
      <c r="B26" s="5" t="s">
        <v>75</v>
      </c>
      <c r="C26" s="5" t="s">
        <v>80</v>
      </c>
      <c r="D26" s="6" t="s">
        <v>81</v>
      </c>
      <c r="E26" s="7" t="n">
        <v>10</v>
      </c>
      <c r="F26" s="8" t="n">
        <v>0.8</v>
      </c>
      <c r="G26" s="9" t="n">
        <f aca="false">E26*F26</f>
        <v>8</v>
      </c>
      <c r="H26" s="5" t="s">
        <v>63</v>
      </c>
      <c r="I26" s="5"/>
      <c r="J26" s="6" t="s">
        <v>82</v>
      </c>
    </row>
    <row r="27" customFormat="false" ht="15" hidden="false" customHeight="false" outlineLevel="0" collapsed="false">
      <c r="A27" s="5" t="s">
        <v>13</v>
      </c>
      <c r="B27" s="5" t="s">
        <v>83</v>
      </c>
      <c r="C27" s="5" t="s">
        <v>84</v>
      </c>
      <c r="D27" s="6" t="s">
        <v>85</v>
      </c>
      <c r="E27" s="7" t="n">
        <v>1</v>
      </c>
      <c r="F27" s="8" t="n">
        <v>12</v>
      </c>
      <c r="G27" s="9" t="n">
        <f aca="false">E27*F27</f>
        <v>12</v>
      </c>
      <c r="H27" s="5" t="s">
        <v>86</v>
      </c>
      <c r="I27" s="5"/>
      <c r="J27" s="6" t="s">
        <v>87</v>
      </c>
    </row>
    <row r="28" customFormat="false" ht="15" hidden="false" customHeight="false" outlineLevel="0" collapsed="false">
      <c r="A28" s="5" t="s">
        <v>13</v>
      </c>
      <c r="B28" s="5" t="s">
        <v>83</v>
      </c>
      <c r="C28" s="5" t="s">
        <v>88</v>
      </c>
      <c r="D28" s="6" t="s">
        <v>89</v>
      </c>
      <c r="E28" s="7" t="n">
        <v>1</v>
      </c>
      <c r="F28" s="8" t="n">
        <v>15</v>
      </c>
      <c r="G28" s="9" t="n">
        <f aca="false">E28*F28</f>
        <v>15</v>
      </c>
      <c r="H28" s="5" t="s">
        <v>28</v>
      </c>
      <c r="I28" s="5"/>
      <c r="J28" s="6" t="s">
        <v>90</v>
      </c>
    </row>
    <row r="29" customFormat="false" ht="15" hidden="false" customHeight="false" outlineLevel="0" collapsed="false">
      <c r="A29" s="5" t="s">
        <v>91</v>
      </c>
      <c r="B29" s="5" t="s">
        <v>92</v>
      </c>
      <c r="C29" s="5" t="s">
        <v>93</v>
      </c>
      <c r="D29" s="6" t="s">
        <v>94</v>
      </c>
      <c r="E29" s="7" t="n">
        <v>1</v>
      </c>
      <c r="F29" s="8" t="n">
        <v>45</v>
      </c>
      <c r="G29" s="9" t="n">
        <f aca="false">E29*F29</f>
        <v>45</v>
      </c>
      <c r="H29" s="5" t="s">
        <v>95</v>
      </c>
      <c r="I29" s="5"/>
      <c r="J29" s="6" t="s">
        <v>96</v>
      </c>
    </row>
    <row r="30" customFormat="false" ht="15" hidden="false" customHeight="false" outlineLevel="0" collapsed="false">
      <c r="A30" s="5" t="s">
        <v>91</v>
      </c>
      <c r="B30" s="5" t="s">
        <v>92</v>
      </c>
      <c r="C30" s="5" t="s">
        <v>97</v>
      </c>
      <c r="D30" s="6" t="s">
        <v>98</v>
      </c>
      <c r="E30" s="7" t="n">
        <v>1</v>
      </c>
      <c r="F30" s="8" t="n">
        <v>15</v>
      </c>
      <c r="G30" s="9" t="n">
        <f aca="false">E30*F30</f>
        <v>15</v>
      </c>
      <c r="H30" s="5" t="s">
        <v>99</v>
      </c>
      <c r="I30" s="5"/>
      <c r="J30" s="6"/>
    </row>
    <row r="31" customFormat="false" ht="15" hidden="false" customHeight="false" outlineLevel="0" collapsed="false">
      <c r="A31" s="5" t="s">
        <v>91</v>
      </c>
      <c r="B31" s="5" t="s">
        <v>72</v>
      </c>
      <c r="C31" s="5" t="s">
        <v>100</v>
      </c>
      <c r="D31" s="6" t="s">
        <v>101</v>
      </c>
      <c r="E31" s="7" t="n">
        <v>2</v>
      </c>
      <c r="F31" s="8" t="n">
        <v>2.5</v>
      </c>
      <c r="G31" s="9" t="n">
        <f aca="false">E31*F31</f>
        <v>5</v>
      </c>
      <c r="H31" s="5" t="s">
        <v>36</v>
      </c>
      <c r="I31" s="5"/>
      <c r="J31" s="6"/>
    </row>
    <row r="32" customFormat="false" ht="15" hidden="false" customHeight="false" outlineLevel="0" collapsed="false">
      <c r="A32" s="5" t="s">
        <v>91</v>
      </c>
      <c r="B32" s="5" t="s">
        <v>72</v>
      </c>
      <c r="C32" s="5" t="s">
        <v>102</v>
      </c>
      <c r="D32" s="6" t="s">
        <v>103</v>
      </c>
      <c r="E32" s="7" t="n">
        <v>2</v>
      </c>
      <c r="F32" s="8" t="n">
        <v>9</v>
      </c>
      <c r="G32" s="9" t="n">
        <f aca="false">E32*F32</f>
        <v>18</v>
      </c>
      <c r="H32" s="5" t="s">
        <v>104</v>
      </c>
      <c r="I32" s="5"/>
      <c r="J32" s="6" t="s">
        <v>105</v>
      </c>
    </row>
    <row r="33" customFormat="false" ht="15" hidden="false" customHeight="false" outlineLevel="0" collapsed="false">
      <c r="A33" s="5" t="s">
        <v>91</v>
      </c>
      <c r="B33" s="5" t="s">
        <v>72</v>
      </c>
      <c r="C33" s="5" t="s">
        <v>106</v>
      </c>
      <c r="D33" s="6" t="s">
        <v>107</v>
      </c>
      <c r="E33" s="7" t="n">
        <v>1</v>
      </c>
      <c r="F33" s="8" t="n">
        <v>8</v>
      </c>
      <c r="G33" s="9" t="n">
        <f aca="false">E33*F33</f>
        <v>8</v>
      </c>
      <c r="H33" s="5" t="s">
        <v>53</v>
      </c>
      <c r="I33" s="5"/>
      <c r="J33" s="6"/>
    </row>
    <row r="34" customFormat="false" ht="15" hidden="false" customHeight="false" outlineLevel="0" collapsed="false">
      <c r="A34" s="5" t="s">
        <v>91</v>
      </c>
      <c r="B34" s="5" t="s">
        <v>72</v>
      </c>
      <c r="C34" s="5" t="s">
        <v>108</v>
      </c>
      <c r="D34" s="6" t="s">
        <v>109</v>
      </c>
      <c r="E34" s="7" t="n">
        <v>1</v>
      </c>
      <c r="F34" s="8" t="n">
        <v>7</v>
      </c>
      <c r="G34" s="9" t="n">
        <f aca="false">E34*F34</f>
        <v>7</v>
      </c>
      <c r="H34" s="5" t="s">
        <v>110</v>
      </c>
      <c r="I34" s="5"/>
      <c r="J34" s="6"/>
    </row>
    <row r="35" customFormat="false" ht="23.85" hidden="false" customHeight="false" outlineLevel="0" collapsed="false">
      <c r="A35" s="5" t="s">
        <v>91</v>
      </c>
      <c r="B35" s="5" t="s">
        <v>111</v>
      </c>
      <c r="C35" s="5" t="s">
        <v>112</v>
      </c>
      <c r="D35" s="6" t="s">
        <v>113</v>
      </c>
      <c r="E35" s="7" t="n">
        <v>1</v>
      </c>
      <c r="F35" s="8" t="n">
        <v>120</v>
      </c>
      <c r="G35" s="9" t="n">
        <f aca="false">E35*F35</f>
        <v>120</v>
      </c>
      <c r="H35" s="5" t="s">
        <v>114</v>
      </c>
      <c r="I35" s="5"/>
      <c r="J35" s="6" t="s">
        <v>115</v>
      </c>
    </row>
    <row r="36" customFormat="false" ht="15" hidden="false" customHeight="false" outlineLevel="0" collapsed="false">
      <c r="A36" s="5" t="s">
        <v>91</v>
      </c>
      <c r="B36" s="5" t="s">
        <v>111</v>
      </c>
      <c r="C36" s="5" t="s">
        <v>116</v>
      </c>
      <c r="D36" s="6" t="s">
        <v>117</v>
      </c>
      <c r="E36" s="7" t="n">
        <v>1</v>
      </c>
      <c r="F36" s="8" t="n">
        <v>65</v>
      </c>
      <c r="G36" s="9" t="n">
        <f aca="false">E36*F36</f>
        <v>65</v>
      </c>
      <c r="H36" s="5" t="s">
        <v>118</v>
      </c>
      <c r="I36" s="5"/>
      <c r="J36" s="6"/>
    </row>
    <row r="37" customFormat="false" ht="15" hidden="false" customHeight="false" outlineLevel="0" collapsed="false">
      <c r="A37" s="5" t="s">
        <v>91</v>
      </c>
      <c r="B37" s="5" t="s">
        <v>111</v>
      </c>
      <c r="C37" s="5" t="s">
        <v>119</v>
      </c>
      <c r="D37" s="6" t="s">
        <v>120</v>
      </c>
      <c r="E37" s="7" t="n">
        <v>1</v>
      </c>
      <c r="F37" s="8" t="n">
        <v>12</v>
      </c>
      <c r="G37" s="9" t="n">
        <f aca="false">E37*F37</f>
        <v>12</v>
      </c>
      <c r="H37" s="5" t="s">
        <v>121</v>
      </c>
      <c r="I37" s="5"/>
      <c r="J37" s="6"/>
    </row>
    <row r="38" customFormat="false" ht="23.85" hidden="false" customHeight="false" outlineLevel="0" collapsed="false">
      <c r="A38" s="5" t="s">
        <v>91</v>
      </c>
      <c r="B38" s="5" t="s">
        <v>111</v>
      </c>
      <c r="C38" s="5" t="s">
        <v>122</v>
      </c>
      <c r="D38" s="6" t="s">
        <v>123</v>
      </c>
      <c r="E38" s="7" t="n">
        <v>2</v>
      </c>
      <c r="F38" s="8" t="n">
        <v>3</v>
      </c>
      <c r="G38" s="9" t="n">
        <f aca="false">E38*F38</f>
        <v>6</v>
      </c>
      <c r="H38" s="5" t="s">
        <v>36</v>
      </c>
      <c r="I38" s="5"/>
      <c r="J38" s="6" t="s">
        <v>124</v>
      </c>
    </row>
    <row r="39" customFormat="false" ht="15" hidden="false" customHeight="false" outlineLevel="0" collapsed="false">
      <c r="A39" s="5" t="s">
        <v>91</v>
      </c>
      <c r="B39" s="5" t="s">
        <v>111</v>
      </c>
      <c r="C39" s="5" t="s">
        <v>125</v>
      </c>
      <c r="D39" s="6" t="s">
        <v>126</v>
      </c>
      <c r="E39" s="7" t="n">
        <v>1</v>
      </c>
      <c r="F39" s="8" t="n">
        <v>12</v>
      </c>
      <c r="G39" s="9" t="n">
        <f aca="false">E39*F39</f>
        <v>12</v>
      </c>
      <c r="H39" s="5" t="s">
        <v>121</v>
      </c>
      <c r="I39" s="5"/>
      <c r="J39" s="6"/>
    </row>
    <row r="40" customFormat="false" ht="15" hidden="false" customHeight="false" outlineLevel="0" collapsed="false">
      <c r="A40" s="5" t="s">
        <v>91</v>
      </c>
      <c r="B40" s="5" t="s">
        <v>111</v>
      </c>
      <c r="C40" s="5" t="s">
        <v>127</v>
      </c>
      <c r="D40" s="6" t="s">
        <v>128</v>
      </c>
      <c r="E40" s="7" t="n">
        <v>1</v>
      </c>
      <c r="F40" s="8" t="n">
        <v>14</v>
      </c>
      <c r="G40" s="9" t="n">
        <f aca="false">E40*F40</f>
        <v>14</v>
      </c>
      <c r="H40" s="5" t="s">
        <v>121</v>
      </c>
      <c r="I40" s="5"/>
      <c r="J40" s="6" t="s">
        <v>129</v>
      </c>
    </row>
    <row r="41" customFormat="false" ht="15" hidden="false" customHeight="false" outlineLevel="0" collapsed="false">
      <c r="A41" s="5" t="s">
        <v>91</v>
      </c>
      <c r="B41" s="5" t="s">
        <v>111</v>
      </c>
      <c r="C41" s="5" t="s">
        <v>130</v>
      </c>
      <c r="D41" s="6" t="s">
        <v>131</v>
      </c>
      <c r="E41" s="7" t="n">
        <v>1</v>
      </c>
      <c r="F41" s="8" t="n">
        <v>8</v>
      </c>
      <c r="G41" s="9" t="n">
        <f aca="false">E41*F41</f>
        <v>8</v>
      </c>
      <c r="H41" s="5" t="s">
        <v>121</v>
      </c>
      <c r="I41" s="5"/>
      <c r="J41" s="6"/>
    </row>
    <row r="42" customFormat="false" ht="15" hidden="false" customHeight="false" outlineLevel="0" collapsed="false">
      <c r="A42" s="5" t="s">
        <v>91</v>
      </c>
      <c r="B42" s="5" t="s">
        <v>29</v>
      </c>
      <c r="C42" s="5" t="s">
        <v>132</v>
      </c>
      <c r="D42" s="6" t="s">
        <v>133</v>
      </c>
      <c r="E42" s="7" t="n">
        <v>6</v>
      </c>
      <c r="F42" s="8" t="n">
        <v>4.5</v>
      </c>
      <c r="G42" s="9" t="n">
        <f aca="false">E42*F42</f>
        <v>27</v>
      </c>
      <c r="H42" s="5" t="s">
        <v>63</v>
      </c>
      <c r="I42" s="5"/>
      <c r="J42" s="6" t="s">
        <v>134</v>
      </c>
    </row>
    <row r="43" customFormat="false" ht="15" hidden="false" customHeight="false" outlineLevel="0" collapsed="false">
      <c r="A43" s="5" t="s">
        <v>91</v>
      </c>
      <c r="B43" s="5" t="s">
        <v>29</v>
      </c>
      <c r="C43" s="5" t="s">
        <v>135</v>
      </c>
      <c r="D43" s="6" t="s">
        <v>136</v>
      </c>
      <c r="E43" s="7" t="n">
        <v>3</v>
      </c>
      <c r="F43" s="8" t="n">
        <v>5</v>
      </c>
      <c r="G43" s="9" t="n">
        <f aca="false">E43*F43</f>
        <v>15</v>
      </c>
      <c r="H43" s="5" t="s">
        <v>63</v>
      </c>
      <c r="I43" s="5"/>
      <c r="J43" s="6" t="s">
        <v>137</v>
      </c>
    </row>
    <row r="44" customFormat="false" ht="15" hidden="false" customHeight="false" outlineLevel="0" collapsed="false">
      <c r="A44" s="5" t="s">
        <v>91</v>
      </c>
      <c r="B44" s="5" t="s">
        <v>29</v>
      </c>
      <c r="C44" s="5" t="s">
        <v>138</v>
      </c>
      <c r="D44" s="6" t="s">
        <v>139</v>
      </c>
      <c r="E44" s="7" t="n">
        <v>12</v>
      </c>
      <c r="F44" s="8" t="n">
        <v>0.15</v>
      </c>
      <c r="G44" s="9" t="n">
        <f aca="false">E44*F44</f>
        <v>1.8</v>
      </c>
      <c r="H44" s="5" t="s">
        <v>121</v>
      </c>
      <c r="I44" s="5"/>
      <c r="J44" s="6" t="s">
        <v>140</v>
      </c>
    </row>
    <row r="45" customFormat="false" ht="15" hidden="false" customHeight="false" outlineLevel="0" collapsed="false">
      <c r="A45" s="5" t="s">
        <v>91</v>
      </c>
      <c r="B45" s="5" t="s">
        <v>29</v>
      </c>
      <c r="C45" s="5" t="s">
        <v>141</v>
      </c>
      <c r="D45" s="6" t="s">
        <v>142</v>
      </c>
      <c r="E45" s="7" t="n">
        <v>8</v>
      </c>
      <c r="F45" s="8" t="n">
        <v>4</v>
      </c>
      <c r="G45" s="9" t="n">
        <f aca="false">E45*F45</f>
        <v>32</v>
      </c>
      <c r="H45" s="5" t="s">
        <v>143</v>
      </c>
      <c r="I45" s="5"/>
      <c r="J45" s="6"/>
    </row>
    <row r="46" customFormat="false" ht="15" hidden="false" customHeight="false" outlineLevel="0" collapsed="false">
      <c r="A46" s="5" t="s">
        <v>91</v>
      </c>
      <c r="B46" s="5" t="s">
        <v>57</v>
      </c>
      <c r="C46" s="5" t="s">
        <v>144</v>
      </c>
      <c r="D46" s="6" t="s">
        <v>145</v>
      </c>
      <c r="E46" s="7" t="n">
        <v>6</v>
      </c>
      <c r="F46" s="8" t="n">
        <v>3.5</v>
      </c>
      <c r="G46" s="9" t="n">
        <f aca="false">E46*F46</f>
        <v>21</v>
      </c>
      <c r="H46" s="5" t="s">
        <v>63</v>
      </c>
      <c r="I46" s="5"/>
      <c r="J46" s="6" t="s">
        <v>146</v>
      </c>
    </row>
    <row r="47" customFormat="false" ht="15" hidden="false" customHeight="false" outlineLevel="0" collapsed="false">
      <c r="A47" s="5" t="s">
        <v>91</v>
      </c>
      <c r="B47" s="5" t="s">
        <v>147</v>
      </c>
      <c r="C47" s="5" t="s">
        <v>148</v>
      </c>
      <c r="D47" s="6" t="s">
        <v>149</v>
      </c>
      <c r="E47" s="7" t="n">
        <v>1</v>
      </c>
      <c r="F47" s="8" t="n">
        <v>5</v>
      </c>
      <c r="G47" s="9" t="n">
        <f aca="false">E47*F47</f>
        <v>5</v>
      </c>
      <c r="H47" s="5" t="s">
        <v>53</v>
      </c>
      <c r="I47" s="5"/>
      <c r="J47" s="6" t="s">
        <v>150</v>
      </c>
    </row>
    <row r="48" customFormat="false" ht="15" hidden="false" customHeight="false" outlineLevel="0" collapsed="false">
      <c r="A48" s="5" t="s">
        <v>91</v>
      </c>
      <c r="B48" s="5" t="s">
        <v>147</v>
      </c>
      <c r="C48" s="5" t="s">
        <v>151</v>
      </c>
      <c r="D48" s="6" t="s">
        <v>152</v>
      </c>
      <c r="E48" s="7" t="n">
        <v>1</v>
      </c>
      <c r="F48" s="8" t="n">
        <v>18</v>
      </c>
      <c r="G48" s="9" t="n">
        <f aca="false">E48*F48</f>
        <v>18</v>
      </c>
      <c r="H48" s="5" t="s">
        <v>121</v>
      </c>
      <c r="I48" s="5"/>
      <c r="J48" s="6"/>
    </row>
    <row r="49" customFormat="false" ht="15" hidden="false" customHeight="false" outlineLevel="0" collapsed="false">
      <c r="A49" s="5" t="s">
        <v>91</v>
      </c>
      <c r="B49" s="5" t="s">
        <v>147</v>
      </c>
      <c r="C49" s="5" t="s">
        <v>153</v>
      </c>
      <c r="D49" s="6" t="s">
        <v>154</v>
      </c>
      <c r="E49" s="7" t="n">
        <v>1</v>
      </c>
      <c r="F49" s="8" t="n">
        <v>25</v>
      </c>
      <c r="G49" s="9" t="n">
        <f aca="false">E49*F49</f>
        <v>25</v>
      </c>
      <c r="H49" s="5" t="s">
        <v>36</v>
      </c>
      <c r="I49" s="5"/>
      <c r="J49" s="6"/>
    </row>
    <row r="51" customFormat="false" ht="15" hidden="false" customHeight="false" outlineLevel="0" collapsed="false">
      <c r="D51" s="10" t="s">
        <v>155</v>
      </c>
      <c r="G51" s="11" t="n">
        <f aca="false">SUM(G6:G49)</f>
        <v>760.8</v>
      </c>
    </row>
  </sheetData>
  <autoFilter ref="A5:J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2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156</v>
      </c>
    </row>
    <row r="3" customFormat="false" ht="15" hidden="false" customHeight="false" outlineLevel="0" collapsed="false">
      <c r="A3" s="12" t="s">
        <v>3</v>
      </c>
      <c r="B3" s="12" t="s">
        <v>157</v>
      </c>
      <c r="C3" s="12" t="s">
        <v>158</v>
      </c>
    </row>
    <row r="4" customFormat="false" ht="15" hidden="false" customHeight="false" outlineLevel="0" collapsed="false">
      <c r="A4" s="13" t="s">
        <v>13</v>
      </c>
      <c r="B4" s="13" t="s">
        <v>159</v>
      </c>
      <c r="C4" s="14" t="n">
        <f aca="false">SUMIFS(BOM!$G$6:$G$49,BOM!$A$6:$A$49,A4)</f>
        <v>281</v>
      </c>
    </row>
    <row r="5" customFormat="false" ht="15" hidden="false" customHeight="false" outlineLevel="0" collapsed="false">
      <c r="A5" s="13" t="s">
        <v>91</v>
      </c>
      <c r="B5" s="13" t="s">
        <v>160</v>
      </c>
      <c r="C5" s="14" t="n">
        <f aca="false">SUMIFS(BOM!$G$6:$G$49,BOM!$A$6:$A$49,A5)</f>
        <v>479.8</v>
      </c>
    </row>
    <row r="6" customFormat="false" ht="15" hidden="false" customHeight="false" outlineLevel="0" collapsed="false">
      <c r="A6" s="15"/>
      <c r="B6" s="15" t="s">
        <v>161</v>
      </c>
      <c r="C6" s="16" t="n">
        <f aca="false">SUM(C4:C5)</f>
        <v>760.8</v>
      </c>
    </row>
    <row r="8" customFormat="false" ht="15" hidden="false" customHeight="false" outlineLevel="0" collapsed="false">
      <c r="A8" s="17" t="s">
        <v>162</v>
      </c>
    </row>
    <row r="9" customFormat="false" ht="15" hidden="false" customHeight="false" outlineLevel="0" collapsed="false">
      <c r="A9" s="3" t="s">
        <v>163</v>
      </c>
    </row>
    <row r="10" customFormat="false" ht="15" hidden="false" customHeight="false" outlineLevel="0" collapsed="false">
      <c r="A10" s="3" t="s">
        <v>164</v>
      </c>
    </row>
    <row r="11" customFormat="false" ht="15" hidden="false" customHeight="false" outlineLevel="0" collapsed="false">
      <c r="A11" s="3" t="s">
        <v>165</v>
      </c>
    </row>
    <row r="12" customFormat="false" ht="15" hidden="false" customHeight="false" outlineLevel="0" collapsed="false">
      <c r="A12" s="3" t="s">
        <v>166</v>
      </c>
    </row>
    <row r="13" customFormat="false" ht="15" hidden="false" customHeight="false" outlineLevel="0" collapsed="false">
      <c r="A13" s="3" t="s">
        <v>167</v>
      </c>
    </row>
    <row r="14" customFormat="false" ht="15" hidden="false" customHeight="false" outlineLevel="0" collapsed="false">
      <c r="A14" s="3" t="s">
        <v>168</v>
      </c>
    </row>
    <row r="15" customFormat="false" ht="15" hidden="false" customHeight="false" outlineLevel="0" collapsed="false">
      <c r="A15" s="3" t="s">
        <v>169</v>
      </c>
    </row>
    <row r="18" customFormat="false" ht="15" hidden="false" customHeight="false" outlineLevel="0" collapsed="false">
      <c r="A18" s="17" t="s">
        <v>170</v>
      </c>
    </row>
    <row r="19" customFormat="false" ht="15" hidden="false" customHeight="false" outlineLevel="0" collapsed="false">
      <c r="A19" s="3" t="s">
        <v>171</v>
      </c>
    </row>
    <row r="20" customFormat="false" ht="15" hidden="false" customHeight="false" outlineLevel="0" collapsed="false">
      <c r="A20" s="3" t="s">
        <v>172</v>
      </c>
    </row>
    <row r="21" customFormat="false" ht="15" hidden="false" customHeight="false" outlineLevel="0" collapsed="false">
      <c r="A21" s="3" t="s">
        <v>173</v>
      </c>
    </row>
    <row r="22" customFormat="false" ht="15" hidden="false" customHeight="false" outlineLevel="0" collapsed="false">
      <c r="A22" s="3" t="s">
        <v>174</v>
      </c>
    </row>
    <row r="23" customFormat="false" ht="15" hidden="false" customHeight="false" outlineLevel="0" collapsed="false">
      <c r="A23" s="3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46"/>
  </cols>
  <sheetData>
    <row r="1" customFormat="false" ht="17.35" hidden="false" customHeight="false" outlineLevel="0" collapsed="false">
      <c r="A1" s="1" t="s">
        <v>176</v>
      </c>
    </row>
    <row r="3" customFormat="false" ht="15" hidden="false" customHeight="false" outlineLevel="0" collapsed="false">
      <c r="A3" s="12" t="s">
        <v>5</v>
      </c>
      <c r="B3" s="12" t="s">
        <v>177</v>
      </c>
      <c r="C3" s="12" t="s">
        <v>158</v>
      </c>
      <c r="D3" s="12" t="s">
        <v>12</v>
      </c>
    </row>
    <row r="4" customFormat="false" ht="15" hidden="false" customHeight="false" outlineLevel="0" collapsed="false">
      <c r="A4" s="5" t="s">
        <v>178</v>
      </c>
      <c r="B4" s="5" t="s">
        <v>179</v>
      </c>
      <c r="C4" s="5" t="s">
        <v>180</v>
      </c>
      <c r="D4" s="6" t="s">
        <v>181</v>
      </c>
    </row>
    <row r="5" customFormat="false" ht="15" hidden="false" customHeight="false" outlineLevel="0" collapsed="false">
      <c r="A5" s="5" t="s">
        <v>182</v>
      </c>
      <c r="B5" s="5" t="s">
        <v>183</v>
      </c>
      <c r="C5" s="5" t="s">
        <v>180</v>
      </c>
      <c r="D5" s="6" t="s">
        <v>184</v>
      </c>
    </row>
    <row r="6" customFormat="false" ht="15" hidden="false" customHeight="false" outlineLevel="0" collapsed="false">
      <c r="A6" s="5" t="s">
        <v>185</v>
      </c>
      <c r="B6" s="5" t="s">
        <v>186</v>
      </c>
      <c r="C6" s="5" t="s">
        <v>180</v>
      </c>
      <c r="D6" s="6" t="s">
        <v>187</v>
      </c>
    </row>
    <row r="7" customFormat="false" ht="15" hidden="false" customHeight="false" outlineLevel="0" collapsed="false">
      <c r="A7" s="5" t="s">
        <v>188</v>
      </c>
      <c r="B7" s="5" t="s">
        <v>189</v>
      </c>
      <c r="C7" s="5" t="s">
        <v>180</v>
      </c>
      <c r="D7" s="6" t="s">
        <v>190</v>
      </c>
    </row>
    <row r="8" customFormat="false" ht="15" hidden="false" customHeight="false" outlineLevel="0" collapsed="false">
      <c r="A8" s="5" t="s">
        <v>191</v>
      </c>
      <c r="B8" s="5" t="s">
        <v>192</v>
      </c>
      <c r="C8" s="5" t="s">
        <v>180</v>
      </c>
      <c r="D8" s="6"/>
    </row>
    <row r="9" customFormat="false" ht="15" hidden="false" customHeight="false" outlineLevel="0" collapsed="false">
      <c r="A9" s="5" t="s">
        <v>193</v>
      </c>
      <c r="B9" s="5" t="s">
        <v>194</v>
      </c>
      <c r="C9" s="5" t="s">
        <v>180</v>
      </c>
      <c r="D9" s="6" t="s">
        <v>195</v>
      </c>
    </row>
    <row r="10" customFormat="false" ht="15" hidden="false" customHeight="false" outlineLevel="0" collapsed="false">
      <c r="A10" s="5" t="s">
        <v>196</v>
      </c>
      <c r="B10" s="5" t="s">
        <v>197</v>
      </c>
      <c r="C10" s="5" t="s">
        <v>198</v>
      </c>
      <c r="D10" s="6" t="s">
        <v>199</v>
      </c>
    </row>
    <row r="11" customFormat="false" ht="15" hidden="false" customHeight="false" outlineLevel="0" collapsed="false">
      <c r="A11" s="5" t="s">
        <v>200</v>
      </c>
      <c r="B11" s="5" t="s">
        <v>201</v>
      </c>
      <c r="C11" s="5" t="s">
        <v>202</v>
      </c>
      <c r="D11" s="6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2026-07-26T01:57:16Z</dcterms:created>
  <dc:creator>openpyxl</dc:creator>
  <dc:description/>
  <dc:language>en-US</dc:language>
  <cp:lastModifiedBy/>
  <dcterms:modified xsi:type="dcterms:W3CDTF">2026-07-26T01:57:16Z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